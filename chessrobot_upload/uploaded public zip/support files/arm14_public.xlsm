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filterPrivacy="1" codeName="ThisWorkbook"/>
  <bookViews>
    <workbookView xWindow="120" yWindow="60" windowWidth="10611" windowHeight="7286"/>
  </bookViews>
  <sheets>
    <sheet name="Model" sheetId="1" r:id="rId1"/>
  </sheets>
  <definedNames>
    <definedName name="alpha0">Model!$C$3</definedName>
    <definedName name="alpha1">Model!$C$5</definedName>
    <definedName name="alpha2">Model!$C$7</definedName>
    <definedName name="currX">Model!$H$42</definedName>
    <definedName name="currY">Model!$I$42</definedName>
    <definedName name="currZ">Model!$J$42</definedName>
    <definedName name="targetAlpha0">Model!$C$24</definedName>
    <definedName name="targetAlpha1">Model!$C$42</definedName>
    <definedName name="targetAlpha2">Model!$C$37</definedName>
    <definedName name="targetX">Model!$C$11</definedName>
    <definedName name="targetY">Model!$C$12</definedName>
    <definedName name="targetZ">Model!$C$13</definedName>
  </definedNames>
  <calcPr calcId="171027" concurrentCalc="0"/>
</workbook>
</file>

<file path=xl/calcChain.xml><?xml version="1.0" encoding="utf-8"?>
<calcChain xmlns="http://schemas.openxmlformats.org/spreadsheetml/2006/main">
  <c r="H38" i="1" l="1"/>
  <c r="C9" i="1"/>
  <c r="C31" i="1"/>
  <c r="I23" i="1"/>
  <c r="L30" i="1"/>
  <c r="L31" i="1"/>
  <c r="C18" i="1"/>
  <c r="C19" i="1"/>
  <c r="C24" i="1"/>
  <c r="C26" i="1"/>
  <c r="C29" i="1"/>
  <c r="I38" i="1"/>
  <c r="C20" i="1"/>
  <c r="C27" i="1"/>
  <c r="C30" i="1"/>
  <c r="AL5" i="1"/>
  <c r="AL6" i="1"/>
  <c r="AL7" i="1"/>
  <c r="AL8" i="1"/>
  <c r="AL9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AL10" i="1"/>
  <c r="AL11" i="1"/>
  <c r="AL12" i="1"/>
  <c r="AL13" i="1"/>
  <c r="AL14" i="1"/>
  <c r="AL15" i="1"/>
  <c r="AL16" i="1"/>
  <c r="AL17" i="1"/>
  <c r="AK6" i="1"/>
  <c r="AK7" i="1"/>
  <c r="AK8" i="1"/>
  <c r="AK9" i="1"/>
  <c r="AG23" i="1"/>
  <c r="I31" i="1"/>
  <c r="I32" i="1"/>
  <c r="H31" i="1"/>
  <c r="AM38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6" i="1"/>
  <c r="AF5" i="1"/>
  <c r="Z5" i="1"/>
  <c r="Z6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J38" i="1"/>
  <c r="AB23" i="1"/>
  <c r="C32" i="1"/>
  <c r="AH23" i="1"/>
  <c r="H39" i="1"/>
  <c r="AA24" i="1"/>
  <c r="I39" i="1"/>
  <c r="AN3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H32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J39" i="1"/>
  <c r="AN38" i="1"/>
  <c r="AA23" i="1"/>
  <c r="C33" i="1"/>
  <c r="C35" i="1"/>
  <c r="C37" i="1"/>
  <c r="J40" i="1"/>
  <c r="I33" i="1"/>
  <c r="C40" i="1"/>
  <c r="C39" i="1"/>
  <c r="H33" i="1"/>
  <c r="H41" i="1"/>
  <c r="AA26" i="1"/>
  <c r="H40" i="1"/>
  <c r="AA25" i="1"/>
  <c r="I40" i="1"/>
  <c r="AG24" i="1"/>
  <c r="AM39" i="1"/>
  <c r="AB24" i="1"/>
  <c r="AH24" i="1"/>
  <c r="C42" i="1"/>
  <c r="J41" i="1"/>
  <c r="I34" i="1"/>
  <c r="J42" i="1"/>
  <c r="AH25" i="1"/>
  <c r="AB25" i="1"/>
  <c r="I41" i="1"/>
  <c r="AG26" i="1"/>
  <c r="H34" i="1"/>
  <c r="H42" i="1"/>
  <c r="AA27" i="1"/>
  <c r="AM40" i="1"/>
  <c r="AG25" i="1"/>
  <c r="AN40" i="1"/>
  <c r="AM41" i="1"/>
  <c r="J43" i="1"/>
  <c r="AB27" i="1"/>
  <c r="AH27" i="1"/>
  <c r="AH26" i="1"/>
  <c r="AB26" i="1"/>
  <c r="AN41" i="1"/>
  <c r="I42" i="1"/>
  <c r="I43" i="1"/>
  <c r="AM42" i="1"/>
  <c r="H43" i="1"/>
  <c r="AG27" i="1"/>
  <c r="AN42" i="1"/>
</calcChain>
</file>

<file path=xl/sharedStrings.xml><?xml version="1.0" encoding="utf-8"?>
<sst xmlns="http://schemas.openxmlformats.org/spreadsheetml/2006/main" count="72" uniqueCount="39">
  <si>
    <t>h</t>
  </si>
  <si>
    <t>a</t>
  </si>
  <si>
    <t>b</t>
  </si>
  <si>
    <t>c</t>
  </si>
  <si>
    <t>x</t>
  </si>
  <si>
    <t>y</t>
  </si>
  <si>
    <t>P1</t>
  </si>
  <si>
    <t>P2</t>
  </si>
  <si>
    <t>P3</t>
  </si>
  <si>
    <t>P4</t>
  </si>
  <si>
    <t>z</t>
  </si>
  <si>
    <t>chart 1</t>
  </si>
  <si>
    <t>α1</t>
  </si>
  <si>
    <t>α2</t>
  </si>
  <si>
    <t>α2=</t>
  </si>
  <si>
    <t>α1=</t>
  </si>
  <si>
    <t>α0</t>
  </si>
  <si>
    <t>chart 2</t>
  </si>
  <si>
    <t>P0</t>
  </si>
  <si>
    <t>Positions in plane of arm</t>
  </si>
  <si>
    <t>horiz</t>
  </si>
  <si>
    <t>vert</t>
  </si>
  <si>
    <t>3d positions</t>
  </si>
  <si>
    <t>α0=</t>
  </si>
  <si>
    <t>target relative to α1, in plane of arm</t>
  </si>
  <si>
    <t>square</t>
  </si>
  <si>
    <t>chart 3</t>
  </si>
  <si>
    <t>0,0,0 outside a1</t>
  </si>
  <si>
    <t>x_base</t>
  </si>
  <si>
    <t>y_base</t>
  </si>
  <si>
    <t>z_base</t>
  </si>
  <si>
    <t>x_board</t>
  </si>
  <si>
    <t>y_board</t>
  </si>
  <si>
    <t>z_board</t>
  </si>
  <si>
    <t>OFFSETS</t>
  </si>
  <si>
    <t>0,0,0 at base of arm, x and y reversed</t>
  </si>
  <si>
    <t>square size</t>
  </si>
  <si>
    <t>α3</t>
  </si>
  <si>
    <t>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</si>
</sst>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name val="Mahsuri Sans MT"/>
    </font>
    <font>
      <sz val="8"/>
      <name val="Mahsuri Sans MT"/>
    </font>
    <font>
      <i/>
      <sz val="11"/>
      <name val="Arial"/>
      <family val="2"/>
    </font>
    <font>
      <sz val="11"/>
      <name val="Arial"/>
      <family val="2"/>
    </font>
    <font>
      <sz val="11"/>
      <color rgb="FF000000"/>
      <name val="Mahsuri Sans MT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3" fillId="0" borderId="0" xfId="0" applyFont="1"/>
    <xf numFmtId="0" fontId="3" fillId="2" borderId="1" xfId="0" applyFont="1" applyFill="1" applyBorder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6" borderId="0" xfId="0" applyFont="1" applyFill="1"/>
    <xf numFmtId="0" fontId="3" fillId="7" borderId="1" xfId="0" applyFont="1" applyFill="1" applyBorder="1"/>
    <xf numFmtId="0" fontId="3" fillId="8" borderId="1" xfId="0" applyFont="1" applyFill="1" applyBorder="1"/>
  </cellXfs>
  <cellStyles count="1">
    <cellStyle name="Normal" xfId="0" builtinId="0"/>
  </cellStyles>
  <dxfs count="1"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11915430380617"/>
          <c:y val="8.5756057401598279E-2"/>
          <c:w val="0.82142936723920279"/>
          <c:h val="0.7136648166810974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969696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38100">
                <a:solidFill>
                  <a:srgbClr val="9933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7A9-4336-B49E-AECC894A1CA6}"/>
              </c:ext>
            </c:extLst>
          </c:dPt>
          <c:dPt>
            <c:idx val="2"/>
            <c:marker>
              <c:symbol val="x"/>
              <c:size val="9"/>
              <c:spPr>
                <a:noFill/>
                <a:ln>
                  <a:solidFill>
                    <a:schemeClr val="bg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7A9-4336-B49E-AECC894A1CA6}"/>
              </c:ext>
            </c:extLst>
          </c:dPt>
          <c:dPt>
            <c:idx val="3"/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7A9-4336-B49E-AECC894A1CA6}"/>
              </c:ext>
            </c:extLst>
          </c:dPt>
          <c:dPt>
            <c:idx val="4"/>
            <c:marker>
              <c:symbol val="x"/>
              <c:size val="9"/>
              <c:spPr>
                <a:noFill/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F7A9-4336-B49E-AECC894A1CA6}"/>
              </c:ext>
            </c:extLst>
          </c:dPt>
          <c:dPt>
            <c:idx val="5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F7A9-4336-B49E-AECC894A1CA6}"/>
              </c:ext>
            </c:extLst>
          </c:dPt>
          <c:dPt>
            <c:idx val="6"/>
            <c:marker>
              <c:symbol val="x"/>
              <c:size val="9"/>
              <c:spPr>
                <a:noFill/>
                <a:ln>
                  <a:solidFill>
                    <a:schemeClr val="bg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F7A9-4336-B49E-AECC894A1CA6}"/>
              </c:ext>
            </c:extLst>
          </c:dPt>
          <c:dPt>
            <c:idx val="7"/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F7A9-4336-B49E-AECC894A1CA6}"/>
              </c:ext>
            </c:extLst>
          </c:dPt>
          <c:dPt>
            <c:idx val="8"/>
            <c:marker>
              <c:symbol val="x"/>
              <c:size val="9"/>
              <c:spPr>
                <a:noFill/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F7A9-4336-B49E-AECC894A1CA6}"/>
              </c:ext>
            </c:extLst>
          </c:dPt>
          <c:dPt>
            <c:idx val="9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F7A9-4336-B49E-AECC894A1CA6}"/>
              </c:ext>
            </c:extLst>
          </c:dPt>
          <c:dPt>
            <c:idx val="10"/>
            <c:marker>
              <c:symbol val="x"/>
              <c:size val="9"/>
              <c:spPr>
                <a:noFill/>
                <a:ln>
                  <a:solidFill>
                    <a:schemeClr val="bg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F7A9-4336-B49E-AECC894A1CA6}"/>
              </c:ext>
            </c:extLst>
          </c:dPt>
          <c:dPt>
            <c:idx val="11"/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F7A9-4336-B49E-AECC894A1CA6}"/>
              </c:ext>
            </c:extLst>
          </c:dPt>
          <c:dPt>
            <c:idx val="12"/>
            <c:marker>
              <c:symbol val="x"/>
              <c:size val="9"/>
              <c:spPr>
                <a:noFill/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F7A9-4336-B49E-AECC894A1CA6}"/>
              </c:ext>
            </c:extLst>
          </c:dPt>
          <c:dPt>
            <c:idx val="13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F7A9-4336-B49E-AECC894A1CA6}"/>
              </c:ext>
            </c:extLst>
          </c:dPt>
          <c:dPt>
            <c:idx val="14"/>
            <c:marker>
              <c:symbol val="x"/>
              <c:size val="9"/>
              <c:spPr>
                <a:noFill/>
                <a:ln>
                  <a:solidFill>
                    <a:schemeClr val="bg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F7A9-4336-B49E-AECC894A1CA6}"/>
              </c:ext>
            </c:extLst>
          </c:dPt>
          <c:dPt>
            <c:idx val="15"/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F7A9-4336-B49E-AECC894A1CA6}"/>
              </c:ext>
            </c:extLst>
          </c:dPt>
          <c:dPt>
            <c:idx val="16"/>
            <c:marker>
              <c:symbol val="x"/>
              <c:size val="9"/>
              <c:spPr>
                <a:noFill/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F7A9-4336-B49E-AECC894A1CA6}"/>
              </c:ext>
            </c:extLst>
          </c:dPt>
          <c:dPt>
            <c:idx val="17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1-F7A9-4336-B49E-AECC894A1CA6}"/>
              </c:ext>
            </c:extLst>
          </c:dPt>
          <c:dPt>
            <c:idx val="18"/>
            <c:bubble3D val="0"/>
            <c:spPr>
              <a:ln w="38100">
                <a:solidFill>
                  <a:srgbClr val="9933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3-F7A9-4336-B49E-AECC894A1CA6}"/>
              </c:ext>
            </c:extLst>
          </c:dPt>
          <c:dPt>
            <c:idx val="20"/>
            <c:marker>
              <c:symbol val="square"/>
              <c:size val="9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F7A9-4336-B49E-AECC894A1CA6}"/>
              </c:ext>
            </c:extLst>
          </c:dPt>
          <c:dPt>
            <c:idx val="21"/>
            <c:marker>
              <c:symbol val="square"/>
              <c:size val="9"/>
              <c:spPr>
                <a:noFill/>
                <a:ln>
                  <a:solidFill>
                    <a:srgbClr val="FFFF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F7A9-4336-B49E-AECC894A1CA6}"/>
              </c:ext>
            </c:extLst>
          </c:dPt>
          <c:dLbls>
            <c:dLbl>
              <c:idx val="20"/>
              <c:numFmt formatCode="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000000"/>
                      </a:solidFill>
                      <a:latin typeface="Mahsuri Sans MT"/>
                      <a:ea typeface="Mahsuri Sans MT"/>
                      <a:cs typeface="Mahsuri Sans MT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F7A9-4336-B49E-AECC894A1CA6}"/>
                </c:ext>
              </c:extLst>
            </c:dLbl>
            <c:dLbl>
              <c:idx val="21"/>
              <c:numFmt formatCode="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000000"/>
                      </a:solidFill>
                      <a:latin typeface="Mahsuri Sans MT"/>
                      <a:ea typeface="Mahsuri Sans MT"/>
                      <a:cs typeface="Mahsuri Sans MT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F7A9-4336-B49E-AECC894A1C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Model!$Y$5:$Y$27</c:f>
              <c:numCache>
                <c:formatCode>General</c:formatCode>
                <c:ptCount val="23"/>
                <c:pt idx="0">
                  <c:v>400</c:v>
                </c:pt>
                <c:pt idx="1">
                  <c:v>360</c:v>
                </c:pt>
                <c:pt idx="2">
                  <c:v>340</c:v>
                </c:pt>
                <c:pt idx="3">
                  <c:v>320</c:v>
                </c:pt>
                <c:pt idx="4">
                  <c:v>300</c:v>
                </c:pt>
                <c:pt idx="5">
                  <c:v>280</c:v>
                </c:pt>
                <c:pt idx="6">
                  <c:v>260</c:v>
                </c:pt>
                <c:pt idx="7">
                  <c:v>240</c:v>
                </c:pt>
                <c:pt idx="8">
                  <c:v>220</c:v>
                </c:pt>
                <c:pt idx="9">
                  <c:v>200</c:v>
                </c:pt>
                <c:pt idx="10">
                  <c:v>180</c:v>
                </c:pt>
                <c:pt idx="11">
                  <c:v>160</c:v>
                </c:pt>
                <c:pt idx="12">
                  <c:v>140</c:v>
                </c:pt>
                <c:pt idx="13">
                  <c:v>120</c:v>
                </c:pt>
                <c:pt idx="14">
                  <c:v>100</c:v>
                </c:pt>
                <c:pt idx="15">
                  <c:v>80</c:v>
                </c:pt>
                <c:pt idx="16">
                  <c:v>60</c:v>
                </c:pt>
                <c:pt idx="17">
                  <c:v>40</c:v>
                </c:pt>
                <c:pt idx="18">
                  <c:v>0</c:v>
                </c:pt>
              </c:numCache>
            </c:numRef>
          </c:xVal>
          <c:yVal>
            <c:numRef>
              <c:f>Model!$Z$5:$Z$27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F7A9-4336-B49E-AECC894A1CA6}"/>
            </c:ext>
          </c:extLst>
        </c:ser>
        <c:ser>
          <c:idx val="1"/>
          <c:order val="1"/>
          <c:spPr>
            <a:ln w="38100">
              <a:solidFill>
                <a:srgbClr val="969696"/>
              </a:solidFill>
              <a:prstDash val="solid"/>
            </a:ln>
          </c:spPr>
          <c:marker>
            <c:symbol val="none"/>
          </c:marker>
          <c:dPt>
            <c:idx val="20"/>
            <c:marker>
              <c:symbol val="square"/>
              <c:size val="9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F7A9-4336-B49E-AECC894A1CA6}"/>
              </c:ext>
            </c:extLst>
          </c:dPt>
          <c:dPt>
            <c:idx val="21"/>
            <c:marker>
              <c:symbol val="square"/>
              <c:size val="9"/>
              <c:spPr>
                <a:solidFill>
                  <a:srgbClr val="FFFF00"/>
                </a:solidFill>
                <a:ln>
                  <a:solidFill>
                    <a:srgbClr val="FFFF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F7A9-4336-B49E-AECC894A1CA6}"/>
              </c:ext>
            </c:extLst>
          </c:dPt>
          <c:dLbls>
            <c:dLbl>
              <c:idx val="20"/>
              <c:numFmt formatCode="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000000"/>
                      </a:solidFill>
                      <a:latin typeface="Mahsuri Sans MT"/>
                      <a:ea typeface="Mahsuri Sans MT"/>
                      <a:cs typeface="Mahsuri Sans MT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F7A9-4336-B49E-AECC894A1CA6}"/>
                </c:ext>
              </c:extLst>
            </c:dLbl>
            <c:dLbl>
              <c:idx val="21"/>
              <c:numFmt formatCode="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000000"/>
                      </a:solidFill>
                      <a:latin typeface="Mahsuri Sans MT"/>
                      <a:ea typeface="Mahsuri Sans MT"/>
                      <a:cs typeface="Mahsuri Sans MT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F7A9-4336-B49E-AECC894A1C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Model!$AA$5:$AA$27</c:f>
              <c:numCache>
                <c:formatCode>General</c:formatCode>
                <c:ptCount val="23"/>
                <c:pt idx="18">
                  <c:v>200</c:v>
                </c:pt>
                <c:pt idx="19">
                  <c:v>200</c:v>
                </c:pt>
                <c:pt idx="20">
                  <c:v>142.1286321042345</c:v>
                </c:pt>
                <c:pt idx="21">
                  <c:v>59.999999999999915</c:v>
                </c:pt>
                <c:pt idx="22">
                  <c:v>59.999999999999915</c:v>
                </c:pt>
              </c:numCache>
            </c:numRef>
          </c:xVal>
          <c:yVal>
            <c:numRef>
              <c:f>Model!$AB$5:$AB$27</c:f>
              <c:numCache>
                <c:formatCode>General</c:formatCode>
                <c:ptCount val="23"/>
                <c:pt idx="18">
                  <c:v>0</c:v>
                </c:pt>
                <c:pt idx="19">
                  <c:v>78</c:v>
                </c:pt>
                <c:pt idx="20">
                  <c:v>232.95087751993373</c:v>
                </c:pt>
                <c:pt idx="21">
                  <c:v>198.99999999999983</c:v>
                </c:pt>
                <c:pt idx="22">
                  <c:v>99.999999999999829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F7A9-4336-B49E-AECC894A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42392"/>
        <c:axId val="1"/>
      </c:scatterChart>
      <c:valAx>
        <c:axId val="318342392"/>
        <c:scaling>
          <c:orientation val="minMax"/>
          <c:max val="400"/>
          <c:min val="-8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Mahsuri Sans MT"/>
                <a:ea typeface="Mahsuri Sans MT"/>
                <a:cs typeface="Mahsuri Sans MT"/>
              </a:defRPr>
            </a:pPr>
            <a:endParaRPr lang="en-US"/>
          </a:p>
        </c:txPr>
        <c:crossAx val="1"/>
        <c:crossesAt val="0"/>
        <c:crossBetween val="midCat"/>
        <c:majorUnit val="40"/>
        <c:minorUnit val="10"/>
      </c:valAx>
      <c:valAx>
        <c:axId val="1"/>
        <c:scaling>
          <c:orientation val="minMax"/>
          <c:max val="50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Mahsuri Sans MT"/>
                <a:ea typeface="Mahsuri Sans MT"/>
                <a:cs typeface="Mahsuri Sans MT"/>
              </a:defRPr>
            </a:pPr>
            <a:endParaRPr lang="en-US"/>
          </a:p>
        </c:txPr>
        <c:crossAx val="318342392"/>
        <c:crossesAt val="0"/>
        <c:crossBetween val="midCat"/>
        <c:majorUnit val="100"/>
        <c:minorUnit val="10"/>
      </c:valAx>
      <c:spPr>
        <a:solidFill>
          <a:srgbClr val="CCCC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0066CC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Mahsuri Sans MT"/>
          <a:ea typeface="Mahsuri Sans MT"/>
          <a:cs typeface="Mahsuri Sans MT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8572812589918"/>
          <c:y val="7.6618427536811473E-2"/>
          <c:w val="0.78968330473720461"/>
          <c:h val="0.7476901721695740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969696"/>
              </a:solidFill>
              <a:prstDash val="solid"/>
            </a:ln>
          </c:spPr>
          <c:marker>
            <c:symbol val="none"/>
          </c:marker>
          <c:dPt>
            <c:idx val="2"/>
            <c:marker>
              <c:symbol val="square"/>
              <c:size val="9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7A5-4B92-8CBB-F995C904F81E}"/>
              </c:ext>
            </c:extLst>
          </c:dPt>
          <c:dPt>
            <c:idx val="3"/>
            <c:marker>
              <c:symbol val="square"/>
              <c:size val="9"/>
              <c:spPr>
                <a:solidFill>
                  <a:srgbClr val="FFFF00"/>
                </a:solidFill>
                <a:ln>
                  <a:solidFill>
                    <a:srgbClr val="FFFF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7A5-4B92-8CBB-F995C904F81E}"/>
              </c:ext>
            </c:extLst>
          </c:dPt>
          <c:dLbls>
            <c:dLbl>
              <c:idx val="2"/>
              <c:numFmt formatCode="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Mahsuri Sans MT"/>
                      <a:ea typeface="Mahsuri Sans MT"/>
                      <a:cs typeface="Mahsuri Sans MT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7A5-4B92-8CBB-F995C904F81E}"/>
                </c:ext>
              </c:extLst>
            </c:dLbl>
            <c:dLbl>
              <c:idx val="3"/>
              <c:numFmt formatCode="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Mahsuri Sans MT"/>
                      <a:ea typeface="Mahsuri Sans MT"/>
                      <a:cs typeface="Mahsuri Sans MT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A5-4B92-8CBB-F995C904F81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Model!$AM$38:$AM$42</c:f>
              <c:numCache>
                <c:formatCode>General</c:formatCode>
                <c:ptCount val="5"/>
                <c:pt idx="0">
                  <c:v>200</c:v>
                </c:pt>
                <c:pt idx="1">
                  <c:v>200</c:v>
                </c:pt>
                <c:pt idx="2">
                  <c:v>142.1286321042345</c:v>
                </c:pt>
                <c:pt idx="3">
                  <c:v>59.999999999999915</c:v>
                </c:pt>
                <c:pt idx="4">
                  <c:v>59.999999999999915</c:v>
                </c:pt>
              </c:numCache>
            </c:numRef>
          </c:xVal>
          <c:yVal>
            <c:numRef>
              <c:f>Model!$AN$38:$AN$42</c:f>
              <c:numCache>
                <c:formatCode>General</c:formatCode>
                <c:ptCount val="5"/>
                <c:pt idx="0">
                  <c:v>429</c:v>
                </c:pt>
                <c:pt idx="1">
                  <c:v>429</c:v>
                </c:pt>
                <c:pt idx="2">
                  <c:v>276.46760890330387</c:v>
                </c:pt>
                <c:pt idx="3">
                  <c:v>59.999999999999943</c:v>
                </c:pt>
                <c:pt idx="4">
                  <c:v>59.999999999999943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A5-4B92-8CBB-F995C904F81E}"/>
            </c:ext>
          </c:extLst>
        </c:ser>
        <c:ser>
          <c:idx val="1"/>
          <c:order val="1"/>
          <c:spPr>
            <a:ln w="38100">
              <a:solidFill>
                <a:schemeClr val="bg1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F7A5-4B92-8CBB-F995C904F81E}"/>
              </c:ext>
            </c:extLst>
          </c:dPt>
          <c:dPt>
            <c:idx val="3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F7A5-4B92-8CBB-F995C904F81E}"/>
              </c:ext>
            </c:extLst>
          </c:dPt>
          <c:dPt>
            <c:idx val="6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F7A5-4B92-8CBB-F995C904F81E}"/>
              </c:ext>
            </c:extLst>
          </c:dPt>
          <c:dPt>
            <c:idx val="8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F7A5-4B92-8CBB-F995C904F81E}"/>
              </c:ext>
            </c:extLst>
          </c:dPt>
          <c:dPt>
            <c:idx val="10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F7A5-4B92-8CBB-F995C904F81E}"/>
              </c:ext>
            </c:extLst>
          </c:dPt>
          <c:dPt>
            <c:idx val="12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F7A5-4B92-8CBB-F995C904F81E}"/>
              </c:ext>
            </c:extLst>
          </c:dPt>
          <c:dPt>
            <c:idx val="13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F7A5-4B92-8CBB-F995C904F81E}"/>
              </c:ext>
            </c:extLst>
          </c:dPt>
          <c:dPt>
            <c:idx val="15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4-F7A5-4B92-8CBB-F995C904F81E}"/>
              </c:ext>
            </c:extLst>
          </c:dPt>
          <c:dPt>
            <c:idx val="17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6-F7A5-4B92-8CBB-F995C904F81E}"/>
              </c:ext>
            </c:extLst>
          </c:dPt>
          <c:dPt>
            <c:idx val="19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8-F7A5-4B92-8CBB-F995C904F81E}"/>
              </c:ext>
            </c:extLst>
          </c:dPt>
          <c:dPt>
            <c:idx val="22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A-F7A5-4B92-8CBB-F995C904F81E}"/>
              </c:ext>
            </c:extLst>
          </c:dPt>
          <c:dPt>
            <c:idx val="24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C-F7A5-4B92-8CBB-F995C904F81E}"/>
              </c:ext>
            </c:extLst>
          </c:dPt>
          <c:dPt>
            <c:idx val="26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E-F7A5-4B92-8CBB-F995C904F81E}"/>
              </c:ext>
            </c:extLst>
          </c:dPt>
          <c:dPt>
            <c:idx val="28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0-F7A5-4B92-8CBB-F995C904F81E}"/>
              </c:ext>
            </c:extLst>
          </c:dPt>
          <c:dPt>
            <c:idx val="29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2-F7A5-4B92-8CBB-F995C904F81E}"/>
              </c:ext>
            </c:extLst>
          </c:dPt>
          <c:dPt>
            <c:idx val="31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4-F7A5-4B92-8CBB-F995C904F81E}"/>
              </c:ext>
            </c:extLst>
          </c:dPt>
          <c:xVal>
            <c:numRef>
              <c:f>Model!$AK$5:$AK$42</c:f>
              <c:numCache>
                <c:formatCode>General</c:formatCode>
                <c:ptCount val="38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80</c:v>
                </c:pt>
                <c:pt idx="6">
                  <c:v>120</c:v>
                </c:pt>
                <c:pt idx="7">
                  <c:v>160</c:v>
                </c:pt>
                <c:pt idx="8">
                  <c:v>200</c:v>
                </c:pt>
                <c:pt idx="9">
                  <c:v>240</c:v>
                </c:pt>
                <c:pt idx="10">
                  <c:v>280</c:v>
                </c:pt>
                <c:pt idx="11">
                  <c:v>320</c:v>
                </c:pt>
                <c:pt idx="12">
                  <c:v>360</c:v>
                </c:pt>
                <c:pt idx="13">
                  <c:v>360</c:v>
                </c:pt>
                <c:pt idx="14">
                  <c:v>360</c:v>
                </c:pt>
                <c:pt idx="15">
                  <c:v>360</c:v>
                </c:pt>
                <c:pt idx="16">
                  <c:v>360</c:v>
                </c:pt>
                <c:pt idx="17">
                  <c:v>360</c:v>
                </c:pt>
                <c:pt idx="18">
                  <c:v>360</c:v>
                </c:pt>
                <c:pt idx="19">
                  <c:v>360</c:v>
                </c:pt>
                <c:pt idx="20">
                  <c:v>360</c:v>
                </c:pt>
                <c:pt idx="21">
                  <c:v>320</c:v>
                </c:pt>
                <c:pt idx="22">
                  <c:v>280</c:v>
                </c:pt>
                <c:pt idx="23">
                  <c:v>240</c:v>
                </c:pt>
                <c:pt idx="24">
                  <c:v>200</c:v>
                </c:pt>
                <c:pt idx="25">
                  <c:v>160</c:v>
                </c:pt>
                <c:pt idx="26">
                  <c:v>120</c:v>
                </c:pt>
                <c:pt idx="27">
                  <c:v>80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</c:numCache>
            </c:numRef>
          </c:xVal>
          <c:yVal>
            <c:numRef>
              <c:f>Model!$AL$5:$AL$42</c:f>
              <c:numCache>
                <c:formatCode>General</c:formatCode>
                <c:ptCount val="38"/>
                <c:pt idx="0">
                  <c:v>200</c:v>
                </c:pt>
                <c:pt idx="1">
                  <c:v>240</c:v>
                </c:pt>
                <c:pt idx="2">
                  <c:v>280</c:v>
                </c:pt>
                <c:pt idx="3">
                  <c:v>320</c:v>
                </c:pt>
                <c:pt idx="4">
                  <c:v>360</c:v>
                </c:pt>
                <c:pt idx="5">
                  <c:v>360</c:v>
                </c:pt>
                <c:pt idx="6">
                  <c:v>360</c:v>
                </c:pt>
                <c:pt idx="7">
                  <c:v>360</c:v>
                </c:pt>
                <c:pt idx="8">
                  <c:v>360</c:v>
                </c:pt>
                <c:pt idx="9">
                  <c:v>360</c:v>
                </c:pt>
                <c:pt idx="10">
                  <c:v>360</c:v>
                </c:pt>
                <c:pt idx="11">
                  <c:v>360</c:v>
                </c:pt>
                <c:pt idx="12">
                  <c:v>360</c:v>
                </c:pt>
                <c:pt idx="13">
                  <c:v>320</c:v>
                </c:pt>
                <c:pt idx="14">
                  <c:v>280</c:v>
                </c:pt>
                <c:pt idx="15">
                  <c:v>240</c:v>
                </c:pt>
                <c:pt idx="16">
                  <c:v>200</c:v>
                </c:pt>
                <c:pt idx="17">
                  <c:v>160</c:v>
                </c:pt>
                <c:pt idx="18">
                  <c:v>120</c:v>
                </c:pt>
                <c:pt idx="19">
                  <c:v>80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80</c:v>
                </c:pt>
                <c:pt idx="30">
                  <c:v>120</c:v>
                </c:pt>
                <c:pt idx="31">
                  <c:v>160</c:v>
                </c:pt>
                <c:pt idx="32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F7A5-4B92-8CBB-F995C904F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45344"/>
        <c:axId val="1"/>
      </c:scatterChart>
      <c:valAx>
        <c:axId val="318345344"/>
        <c:scaling>
          <c:orientation val="minMax"/>
          <c:max val="44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Mahsuri Sans MT"/>
                <a:ea typeface="Mahsuri Sans MT"/>
                <a:cs typeface="Mahsuri Sans MT"/>
              </a:defRPr>
            </a:pPr>
            <a:endParaRPr lang="en-US"/>
          </a:p>
        </c:txPr>
        <c:crossAx val="1"/>
        <c:crossesAt val="0"/>
        <c:crossBetween val="midCat"/>
        <c:majorUnit val="40"/>
        <c:minorUnit val="10"/>
      </c:valAx>
      <c:valAx>
        <c:axId val="1"/>
        <c:scaling>
          <c:orientation val="minMax"/>
          <c:max val="44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Mahsuri Sans MT"/>
                <a:ea typeface="Mahsuri Sans MT"/>
                <a:cs typeface="Mahsuri Sans MT"/>
              </a:defRPr>
            </a:pPr>
            <a:endParaRPr lang="en-US"/>
          </a:p>
        </c:txPr>
        <c:crossAx val="318345344"/>
        <c:crossesAt val="0"/>
        <c:crossBetween val="midCat"/>
        <c:majorUnit val="40"/>
        <c:minorUnit val="10"/>
      </c:valAx>
      <c:spPr>
        <a:solidFill>
          <a:srgbClr val="CCCC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0066CC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Mahsuri Sans MT"/>
          <a:ea typeface="Mahsuri Sans MT"/>
          <a:cs typeface="Mahsuri Sans MT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13502539743129"/>
          <c:y val="8.2849072404933929E-2"/>
          <c:w val="0.82440556059876513"/>
          <c:h val="0.7281997416644192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969696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38100">
                <a:solidFill>
                  <a:srgbClr val="9933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B3C-4073-86C3-63035DB0781A}"/>
              </c:ext>
            </c:extLst>
          </c:dPt>
          <c:dPt>
            <c:idx val="2"/>
            <c:marker>
              <c:symbol val="x"/>
              <c:size val="9"/>
              <c:spPr>
                <a:noFill/>
                <a:ln>
                  <a:solidFill>
                    <a:schemeClr val="bg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B3C-4073-86C3-63035DB0781A}"/>
              </c:ext>
            </c:extLst>
          </c:dPt>
          <c:dPt>
            <c:idx val="3"/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DB3C-4073-86C3-63035DB0781A}"/>
              </c:ext>
            </c:extLst>
          </c:dPt>
          <c:dPt>
            <c:idx val="4"/>
            <c:marker>
              <c:symbol val="x"/>
              <c:size val="9"/>
              <c:spPr>
                <a:noFill/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DB3C-4073-86C3-63035DB0781A}"/>
              </c:ext>
            </c:extLst>
          </c:dPt>
          <c:dPt>
            <c:idx val="5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DB3C-4073-86C3-63035DB0781A}"/>
              </c:ext>
            </c:extLst>
          </c:dPt>
          <c:dPt>
            <c:idx val="6"/>
            <c:marker>
              <c:symbol val="x"/>
              <c:size val="9"/>
              <c:spPr>
                <a:noFill/>
                <a:ln>
                  <a:solidFill>
                    <a:schemeClr val="bg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DB3C-4073-86C3-63035DB0781A}"/>
              </c:ext>
            </c:extLst>
          </c:dPt>
          <c:dPt>
            <c:idx val="7"/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DB3C-4073-86C3-63035DB0781A}"/>
              </c:ext>
            </c:extLst>
          </c:dPt>
          <c:dPt>
            <c:idx val="8"/>
            <c:marker>
              <c:symbol val="x"/>
              <c:size val="9"/>
              <c:spPr>
                <a:noFill/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DB3C-4073-86C3-63035DB0781A}"/>
              </c:ext>
            </c:extLst>
          </c:dPt>
          <c:dPt>
            <c:idx val="9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DB3C-4073-86C3-63035DB0781A}"/>
              </c:ext>
            </c:extLst>
          </c:dPt>
          <c:dPt>
            <c:idx val="10"/>
            <c:marker>
              <c:symbol val="x"/>
              <c:size val="9"/>
              <c:spPr>
                <a:noFill/>
                <a:ln>
                  <a:solidFill>
                    <a:schemeClr val="bg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DB3C-4073-86C3-63035DB0781A}"/>
              </c:ext>
            </c:extLst>
          </c:dPt>
          <c:dPt>
            <c:idx val="11"/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DB3C-4073-86C3-63035DB0781A}"/>
              </c:ext>
            </c:extLst>
          </c:dPt>
          <c:dPt>
            <c:idx val="12"/>
            <c:marker>
              <c:symbol val="x"/>
              <c:size val="9"/>
              <c:spPr>
                <a:noFill/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DB3C-4073-86C3-63035DB0781A}"/>
              </c:ext>
            </c:extLst>
          </c:dPt>
          <c:dPt>
            <c:idx val="13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DB3C-4073-86C3-63035DB0781A}"/>
              </c:ext>
            </c:extLst>
          </c:dPt>
          <c:dPt>
            <c:idx val="14"/>
            <c:marker>
              <c:symbol val="x"/>
              <c:size val="9"/>
              <c:spPr>
                <a:noFill/>
                <a:ln>
                  <a:solidFill>
                    <a:schemeClr val="bg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DB3C-4073-86C3-63035DB0781A}"/>
              </c:ext>
            </c:extLst>
          </c:dPt>
          <c:dPt>
            <c:idx val="15"/>
            <c:bubble3D val="0"/>
            <c:spPr>
              <a:ln w="38100">
                <a:solidFill>
                  <a:schemeClr val="bg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DB3C-4073-86C3-63035DB0781A}"/>
              </c:ext>
            </c:extLst>
          </c:dPt>
          <c:dPt>
            <c:idx val="16"/>
            <c:marker>
              <c:symbol val="x"/>
              <c:size val="9"/>
              <c:spPr>
                <a:noFill/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DB3C-4073-86C3-63035DB0781A}"/>
              </c:ext>
            </c:extLst>
          </c:dPt>
          <c:dPt>
            <c:idx val="17"/>
            <c:bubble3D val="0"/>
            <c:spPr>
              <a:ln w="381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1-DB3C-4073-86C3-63035DB0781A}"/>
              </c:ext>
            </c:extLst>
          </c:dPt>
          <c:dPt>
            <c:idx val="18"/>
            <c:bubble3D val="0"/>
            <c:spPr>
              <a:ln w="38100">
                <a:solidFill>
                  <a:srgbClr val="9933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3-DB3C-4073-86C3-63035DB0781A}"/>
              </c:ext>
            </c:extLst>
          </c:dPt>
          <c:dPt>
            <c:idx val="20"/>
            <c:marker>
              <c:symbol val="square"/>
              <c:size val="9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B3C-4073-86C3-63035DB0781A}"/>
              </c:ext>
            </c:extLst>
          </c:dPt>
          <c:dPt>
            <c:idx val="21"/>
            <c:marker>
              <c:symbol val="square"/>
              <c:size val="9"/>
              <c:spPr>
                <a:solidFill>
                  <a:srgbClr val="FFFF00"/>
                </a:solidFill>
                <a:ln>
                  <a:solidFill>
                    <a:srgbClr val="FFFF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B3C-4073-86C3-63035DB0781A}"/>
              </c:ext>
            </c:extLst>
          </c:dPt>
          <c:dLbls>
            <c:dLbl>
              <c:idx val="20"/>
              <c:numFmt formatCode="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Mahsuri Sans MT"/>
                      <a:ea typeface="Mahsuri Sans MT"/>
                      <a:cs typeface="Mahsuri Sans MT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DB3C-4073-86C3-63035DB0781A}"/>
                </c:ext>
              </c:extLst>
            </c:dLbl>
            <c:dLbl>
              <c:idx val="21"/>
              <c:numFmt formatCode="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Mahsuri Sans MT"/>
                      <a:ea typeface="Mahsuri Sans MT"/>
                      <a:cs typeface="Mahsuri Sans MT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DB3C-4073-86C3-63035DB0781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Model!$AE$5:$AE$27</c:f>
              <c:numCache>
                <c:formatCode>General</c:formatCode>
                <c:ptCount val="23"/>
                <c:pt idx="0">
                  <c:v>400</c:v>
                </c:pt>
                <c:pt idx="1">
                  <c:v>360</c:v>
                </c:pt>
                <c:pt idx="2">
                  <c:v>340</c:v>
                </c:pt>
                <c:pt idx="3">
                  <c:v>320</c:v>
                </c:pt>
                <c:pt idx="4">
                  <c:v>300</c:v>
                </c:pt>
                <c:pt idx="5">
                  <c:v>280</c:v>
                </c:pt>
                <c:pt idx="6">
                  <c:v>260</c:v>
                </c:pt>
                <c:pt idx="7">
                  <c:v>240</c:v>
                </c:pt>
                <c:pt idx="8">
                  <c:v>220</c:v>
                </c:pt>
                <c:pt idx="9">
                  <c:v>200</c:v>
                </c:pt>
                <c:pt idx="10">
                  <c:v>180</c:v>
                </c:pt>
                <c:pt idx="11">
                  <c:v>160</c:v>
                </c:pt>
                <c:pt idx="12">
                  <c:v>140</c:v>
                </c:pt>
                <c:pt idx="13">
                  <c:v>120</c:v>
                </c:pt>
                <c:pt idx="14">
                  <c:v>100</c:v>
                </c:pt>
                <c:pt idx="15">
                  <c:v>80</c:v>
                </c:pt>
                <c:pt idx="16">
                  <c:v>60</c:v>
                </c:pt>
                <c:pt idx="17">
                  <c:v>40</c:v>
                </c:pt>
                <c:pt idx="18">
                  <c:v>0</c:v>
                </c:pt>
              </c:numCache>
            </c:numRef>
          </c:xVal>
          <c:yVal>
            <c:numRef>
              <c:f>Model!$AF$5:$AF$27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DB3C-4073-86C3-63035DB0781A}"/>
            </c:ext>
          </c:extLst>
        </c:ser>
        <c:ser>
          <c:idx val="1"/>
          <c:order val="1"/>
          <c:spPr>
            <a:ln w="38100">
              <a:solidFill>
                <a:srgbClr val="969696"/>
              </a:solidFill>
              <a:prstDash val="solid"/>
            </a:ln>
          </c:spPr>
          <c:marker>
            <c:symbol val="none"/>
          </c:marker>
          <c:dPt>
            <c:idx val="20"/>
            <c:marker>
              <c:symbol val="square"/>
              <c:size val="9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DB3C-4073-86C3-63035DB0781A}"/>
              </c:ext>
            </c:extLst>
          </c:dPt>
          <c:dPt>
            <c:idx val="21"/>
            <c:marker>
              <c:symbol val="square"/>
              <c:size val="9"/>
              <c:spPr>
                <a:solidFill>
                  <a:srgbClr val="FFFF00"/>
                </a:solidFill>
                <a:ln>
                  <a:solidFill>
                    <a:srgbClr val="FFFF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DB3C-4073-86C3-63035DB0781A}"/>
              </c:ext>
            </c:extLst>
          </c:dPt>
          <c:dLbls>
            <c:dLbl>
              <c:idx val="20"/>
              <c:numFmt formatCode="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Mahsuri Sans MT"/>
                      <a:ea typeface="Mahsuri Sans MT"/>
                      <a:cs typeface="Mahsuri Sans MT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DB3C-4073-86C3-63035DB0781A}"/>
                </c:ext>
              </c:extLst>
            </c:dLbl>
            <c:dLbl>
              <c:idx val="21"/>
              <c:numFmt formatCode="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Mahsuri Sans MT"/>
                      <a:ea typeface="Mahsuri Sans MT"/>
                      <a:cs typeface="Mahsuri Sans MT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DB3C-4073-86C3-63035DB0781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Model!$AG$5:$AG$27</c:f>
              <c:numCache>
                <c:formatCode>General</c:formatCode>
                <c:ptCount val="23"/>
                <c:pt idx="18">
                  <c:v>429</c:v>
                </c:pt>
                <c:pt idx="19">
                  <c:v>429</c:v>
                </c:pt>
                <c:pt idx="20">
                  <c:v>276.46760890330387</c:v>
                </c:pt>
                <c:pt idx="21">
                  <c:v>59.999999999999943</c:v>
                </c:pt>
                <c:pt idx="22">
                  <c:v>59.999999999999943</c:v>
                </c:pt>
              </c:numCache>
            </c:numRef>
          </c:xVal>
          <c:yVal>
            <c:numRef>
              <c:f>Model!$AH$5:$AH$27</c:f>
              <c:numCache>
                <c:formatCode>General</c:formatCode>
                <c:ptCount val="23"/>
                <c:pt idx="18">
                  <c:v>0</c:v>
                </c:pt>
                <c:pt idx="19">
                  <c:v>78</c:v>
                </c:pt>
                <c:pt idx="20">
                  <c:v>232.95087751993373</c:v>
                </c:pt>
                <c:pt idx="21">
                  <c:v>198.99999999999983</c:v>
                </c:pt>
                <c:pt idx="22">
                  <c:v>99.999999999999829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DB3C-4073-86C3-63035DB07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43376"/>
        <c:axId val="1"/>
      </c:scatterChart>
      <c:valAx>
        <c:axId val="318343376"/>
        <c:scaling>
          <c:orientation val="maxMin"/>
          <c:max val="44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Mahsuri Sans MT"/>
                <a:ea typeface="Mahsuri Sans MT"/>
                <a:cs typeface="Mahsuri Sans MT"/>
              </a:defRPr>
            </a:pPr>
            <a:endParaRPr lang="en-US"/>
          </a:p>
        </c:txPr>
        <c:crossAx val="1"/>
        <c:crossesAt val="0"/>
        <c:crossBetween val="midCat"/>
        <c:majorUnit val="40"/>
        <c:minorUnit val="10"/>
      </c:valAx>
      <c:valAx>
        <c:axId val="1"/>
        <c:scaling>
          <c:orientation val="minMax"/>
          <c:max val="500"/>
          <c:min val="0"/>
        </c:scaling>
        <c:delete val="0"/>
        <c:axPos val="r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Mahsuri Sans MT"/>
                <a:ea typeface="Mahsuri Sans MT"/>
                <a:cs typeface="Mahsuri Sans MT"/>
              </a:defRPr>
            </a:pPr>
            <a:endParaRPr lang="en-US"/>
          </a:p>
        </c:txPr>
        <c:crossAx val="318343376"/>
        <c:crossesAt val="0"/>
        <c:crossBetween val="midCat"/>
        <c:majorUnit val="100"/>
        <c:minorUnit val="10"/>
      </c:valAx>
      <c:spPr>
        <a:solidFill>
          <a:srgbClr val="CCCC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0066CC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Mahsuri Sans MT"/>
          <a:ea typeface="Mahsuri Sans MT"/>
          <a:cs typeface="Mahsuri Sans MT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Spin" dx="15" fmlaLink="$C$5" inc="5" max="180" page="10" val="136"/>
</file>

<file path=xl/ctrlProps/ctrlProp2.xml><?xml version="1.0" encoding="utf-8"?>
<formControlPr xmlns="http://schemas.microsoft.com/office/spreadsheetml/2009/9/main" objectType="Spin" dx="15" fmlaLink="$C$7" inc="5" max="180" page="10" val="128"/>
</file>

<file path=xl/ctrlProps/ctrlProp3.xml><?xml version="1.0" encoding="utf-8"?>
<formControlPr xmlns="http://schemas.microsoft.com/office/spreadsheetml/2009/9/main" objectType="Spin" dx="15" fmlaLink="$C$5" max="180" page="10" val="136"/>
</file>

<file path=xl/ctrlProps/ctrlProp4.xml><?xml version="1.0" encoding="utf-8"?>
<formControlPr xmlns="http://schemas.microsoft.com/office/spreadsheetml/2009/9/main" objectType="Spin" dx="15" fmlaLink="$C$7" max="180" page="10" val="128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15" fmlaLink="$C$3" inc="5" max="180" page="10" val="110"/>
</file>

<file path=xl/ctrlProps/ctrlProp7.xml><?xml version="1.0" encoding="utf-8"?>
<formControlPr xmlns="http://schemas.microsoft.com/office/spreadsheetml/2009/9/main" objectType="Spin" dx="15" fmlaLink="$C$3" max="180" page="10" val="1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13</xdr:col>
      <xdr:colOff>0</xdr:colOff>
      <xdr:row>20</xdr:row>
      <xdr:rowOff>0</xdr:rowOff>
    </xdr:to>
    <xdr:graphicFrame macro="">
      <xdr:nvGraphicFramePr>
        <xdr:cNvPr id="1048" name="Chart 1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10886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168729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10886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168729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Mahsuri Sans MT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10886</xdr:rowOff>
        </xdr:to>
        <xdr:sp macro="" textlink="">
          <xdr:nvSpPr>
            <xdr:cNvPr id="1038" name="Spinner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10886</xdr:rowOff>
        </xdr:to>
        <xdr:sp macro="" textlink="">
          <xdr:nvSpPr>
            <xdr:cNvPr id="1039" name="Spinner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14</xdr:col>
      <xdr:colOff>0</xdr:colOff>
      <xdr:row>21</xdr:row>
      <xdr:rowOff>0</xdr:rowOff>
    </xdr:from>
    <xdr:to>
      <xdr:col>21</xdr:col>
      <xdr:colOff>0</xdr:colOff>
      <xdr:row>42</xdr:row>
      <xdr:rowOff>0</xdr:rowOff>
    </xdr:to>
    <xdr:graphicFrame macro="">
      <xdr:nvGraphicFramePr>
        <xdr:cNvPr id="1049" name="Chart 16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0</xdr:colOff>
      <xdr:row>20</xdr:row>
      <xdr:rowOff>0</xdr:rowOff>
    </xdr:to>
    <xdr:graphicFrame macro="">
      <xdr:nvGraphicFramePr>
        <xdr:cNvPr id="1050" name="Chart 17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0.49853</cdr:x>
      <cdr:y>0.91337</cdr:y>
    </cdr:from>
    <cdr:to>
      <cdr:x>0.5313</cdr:x>
      <cdr:y>0.98403</cdr:y>
    </cdr:to>
    <cdr:sp macro="" textlink="">
      <cdr:nvSpPr>
        <cdr:cNvPr id="2049" name="Text Box 1">
          <a:extLst xmlns:a="http://schemas.openxmlformats.org/drawingml/2006/main">
            <a:ext uri="{FF2B5EF4-FFF2-40B4-BE49-F238E27FC236}">
              <a16:creationId xmlns:a16="http://schemas.microsoft.com/office/drawing/2014/main" id="{85882FCB-EA99-405E-95ED-C25C3FF2288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96393" y="2985967"/>
          <a:ext cx="157470" cy="241421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65"/>
        </a:solidFill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0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45720" tIns="32004" rIns="45720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950" b="0" i="0" u="none" strike="noStrike" baseline="0">
              <a:solidFill>
                <a:srgbClr val="000000"/>
              </a:solidFill>
              <a:latin typeface="Mahsuri Sans MT"/>
            </a:rPr>
            <a:t>X</a:t>
          </a:r>
        </a:p>
      </cdr:txBody>
    </cdr:sp>
  </cdr:relSizeAnchor>
  <cdr:relSizeAnchor xmlns:cdr="http://schemas.openxmlformats.org/drawingml/2006/chartDrawing">
    <cdr:from>
      <cdr:x>0.0109</cdr:x>
      <cdr:y>0.3802</cdr:y>
    </cdr:from>
    <cdr:to>
      <cdr:x>0.04514</cdr:x>
      <cdr:y>0.4274</cdr:y>
    </cdr:to>
    <cdr:sp macro="" textlink="">
      <cdr:nvSpPr>
        <cdr:cNvPr id="2050" name="Text Box 2">
          <a:extLst xmlns:a="http://schemas.openxmlformats.org/drawingml/2006/main">
            <a:ext uri="{FF2B5EF4-FFF2-40B4-BE49-F238E27FC236}">
              <a16:creationId xmlns:a16="http://schemas.microsoft.com/office/drawing/2014/main" id="{DE8CB03C-8425-49AD-B74F-884A027D83F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242021"/>
          <a:ext cx="160995" cy="152476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65"/>
        </a:solidFill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0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45720" tIns="36576" rIns="45720" bIns="36576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Mahsuri Sans MT"/>
            </a:rPr>
            <a:t>Z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0.49902</cdr:x>
      <cdr:y>0.92506</cdr:y>
    </cdr:from>
    <cdr:to>
      <cdr:x>0.53155</cdr:x>
      <cdr:y>0.98549</cdr:y>
    </cdr:to>
    <cdr:sp macro="" textlink="">
      <cdr:nvSpPr>
        <cdr:cNvPr id="3073" name="Text Box 1">
          <a:extLst xmlns:a="http://schemas.openxmlformats.org/drawingml/2006/main">
            <a:ext uri="{FF2B5EF4-FFF2-40B4-BE49-F238E27FC236}">
              <a16:creationId xmlns:a16="http://schemas.microsoft.com/office/drawing/2014/main" id="{ECEA8258-D246-4151-BEDD-C3C409DCAA0E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05795" y="3325533"/>
          <a:ext cx="155119" cy="230467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65"/>
        </a:solidFill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0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45720" tIns="36576" rIns="45720" bIns="36576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Mahsuri Sans MT"/>
            </a:rPr>
            <a:t>X</a:t>
          </a:r>
        </a:p>
      </cdr:txBody>
    </cdr:sp>
  </cdr:relSizeAnchor>
  <cdr:relSizeAnchor xmlns:cdr="http://schemas.openxmlformats.org/drawingml/2006/chartDrawing">
    <cdr:from>
      <cdr:x>0.0109</cdr:x>
      <cdr:y>0.3864</cdr:y>
    </cdr:from>
    <cdr:to>
      <cdr:x>0.06177</cdr:x>
      <cdr:y>0.43592</cdr:y>
    </cdr:to>
    <cdr:sp macro="" textlink="">
      <cdr:nvSpPr>
        <cdr:cNvPr id="3074" name="Text Box 2">
          <a:extLst xmlns:a="http://schemas.openxmlformats.org/drawingml/2006/main">
            <a:ext uri="{FF2B5EF4-FFF2-40B4-BE49-F238E27FC236}">
              <a16:creationId xmlns:a16="http://schemas.microsoft.com/office/drawing/2014/main" id="{917D6694-F45C-4AF3-BA96-CD95AD167CEE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385405"/>
          <a:ext cx="250306" cy="17526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65"/>
        </a:solidFill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0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45720" tIns="36576" rIns="45720" bIns="36576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Mahsuri Sans MT"/>
            </a:rPr>
            <a:t>Y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0.49731</cdr:x>
      <cdr:y>0.91894</cdr:y>
    </cdr:from>
    <cdr:to>
      <cdr:x>0.53032</cdr:x>
      <cdr:y>0.98403</cdr:y>
    </cdr:to>
    <cdr:sp macro="" textlink="">
      <cdr:nvSpPr>
        <cdr:cNvPr id="41985" name="Text Box 1">
          <a:extLst xmlns:a="http://schemas.openxmlformats.org/drawingml/2006/main">
            <a:ext uri="{FF2B5EF4-FFF2-40B4-BE49-F238E27FC236}">
              <a16:creationId xmlns:a16="http://schemas.microsoft.com/office/drawing/2014/main" id="{53E1137A-D44D-4475-B6AA-0427499B0280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92868" y="3001056"/>
          <a:ext cx="158645" cy="226332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65"/>
        </a:solidFill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0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45720" tIns="32004" rIns="45720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950" b="0" i="0" u="none" strike="noStrike" baseline="0">
              <a:solidFill>
                <a:srgbClr val="000000"/>
              </a:solidFill>
              <a:latin typeface="Mahsuri Sans MT"/>
            </a:rPr>
            <a:t>Y</a:t>
          </a:r>
        </a:p>
      </cdr:txBody>
    </cdr:sp>
  </cdr:relSizeAnchor>
  <cdr:relSizeAnchor xmlns:cdr="http://schemas.openxmlformats.org/drawingml/2006/chartDrawing">
    <cdr:from>
      <cdr:x>0.0109</cdr:x>
      <cdr:y>0.38456</cdr:y>
    </cdr:from>
    <cdr:to>
      <cdr:x>0.0427</cdr:x>
      <cdr:y>0.43248</cdr:y>
    </cdr:to>
    <cdr:sp macro="" textlink="">
      <cdr:nvSpPr>
        <cdr:cNvPr id="41986" name="Text Box 2">
          <a:extLst xmlns:a="http://schemas.openxmlformats.org/drawingml/2006/main">
            <a:ext uri="{FF2B5EF4-FFF2-40B4-BE49-F238E27FC236}">
              <a16:creationId xmlns:a16="http://schemas.microsoft.com/office/drawing/2014/main" id="{C754707E-BCC6-4442-B8BA-77A8983C8EC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253139"/>
          <a:ext cx="158645" cy="154858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65"/>
        </a:solidFill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0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45720" tIns="36576" rIns="45720" bIns="36576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Mahsuri Sans MT"/>
            </a:rPr>
            <a:t>Z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AN43"/>
  <sheetViews>
    <sheetView tabSelected="1" zoomScale="70" zoomScaleNormal="70" workbookViewId="0">
      <selection activeCell="M64" sqref="M64"/>
    </sheetView>
  </sheetViews>
  <sheetFormatPr defaultColWidth="9" defaultRowHeight="14.15"/>
  <cols>
    <col min="1" max="1" width="2.640625" style="2" customWidth="1"/>
    <col min="2" max="3" width="9" style="2"/>
    <col min="4" max="6" width="2.640625" style="2" customWidth="1"/>
    <col min="7" max="22" width="9" style="2"/>
    <col min="23" max="23" width="2.640625" style="2" customWidth="1"/>
    <col min="24" max="28" width="9" style="2"/>
    <col min="29" max="29" width="2.640625" style="2" customWidth="1"/>
    <col min="30" max="34" width="9" style="2"/>
    <col min="35" max="35" width="2.640625" style="2" customWidth="1"/>
    <col min="36" max="40" width="9" style="2"/>
    <col min="41" max="41" width="2.640625" style="2" customWidth="1"/>
    <col min="42" max="16384" width="9" style="2"/>
  </cols>
  <sheetData>
    <row r="2" spans="2:40">
      <c r="B2" s="2" t="s">
        <v>0</v>
      </c>
      <c r="C2" s="3">
        <v>78</v>
      </c>
      <c r="X2" s="2" t="s">
        <v>11</v>
      </c>
      <c r="AD2" s="2" t="s">
        <v>17</v>
      </c>
      <c r="AJ2" s="2" t="s">
        <v>26</v>
      </c>
    </row>
    <row r="3" spans="2:40">
      <c r="B3" s="1" t="s">
        <v>16</v>
      </c>
      <c r="C3" s="3">
        <v>110.77693532736775</v>
      </c>
    </row>
    <row r="4" spans="2:40">
      <c r="B4" s="2" t="s">
        <v>1</v>
      </c>
      <c r="C4" s="3">
        <v>225</v>
      </c>
      <c r="AA4" s="2" t="s">
        <v>4</v>
      </c>
      <c r="AB4" s="2" t="s">
        <v>10</v>
      </c>
      <c r="AG4" s="2" t="s">
        <v>5</v>
      </c>
      <c r="AH4" s="2" t="s">
        <v>10</v>
      </c>
      <c r="AM4" s="2" t="s">
        <v>4</v>
      </c>
      <c r="AN4" s="2" t="s">
        <v>5</v>
      </c>
    </row>
    <row r="5" spans="2:40">
      <c r="B5" s="1" t="s">
        <v>12</v>
      </c>
      <c r="C5" s="3">
        <v>136.47503537585703</v>
      </c>
      <c r="Y5" s="2">
        <f>+Y6+40</f>
        <v>400</v>
      </c>
      <c r="Z5" s="2">
        <f>0</f>
        <v>0</v>
      </c>
      <c r="AE5" s="2">
        <f>+AE6+40</f>
        <v>400</v>
      </c>
      <c r="AF5" s="2">
        <f>0</f>
        <v>0</v>
      </c>
      <c r="AK5" s="2">
        <v>40</v>
      </c>
      <c r="AL5" s="2">
        <f>+$I$24</f>
        <v>200</v>
      </c>
    </row>
    <row r="6" spans="2:40">
      <c r="B6" s="2" t="s">
        <v>2</v>
      </c>
      <c r="C6" s="3">
        <v>234</v>
      </c>
      <c r="Y6" s="2">
        <f t="shared" ref="Y6:Y20" si="0">+Y7+20</f>
        <v>360</v>
      </c>
      <c r="Z6" s="2">
        <f>0</f>
        <v>0</v>
      </c>
      <c r="AE6" s="2">
        <f t="shared" ref="AE6:AE19" si="1">+AE7+20</f>
        <v>360</v>
      </c>
      <c r="AF6" s="2">
        <f>0</f>
        <v>0</v>
      </c>
      <c r="AK6" s="2">
        <f>+AK5</f>
        <v>40</v>
      </c>
      <c r="AL6" s="2">
        <f>+AL5+40</f>
        <v>240</v>
      </c>
    </row>
    <row r="7" spans="2:40">
      <c r="B7" s="1" t="s">
        <v>13</v>
      </c>
      <c r="C7" s="3">
        <v>128.13258961179278</v>
      </c>
      <c r="Y7" s="2">
        <f t="shared" si="0"/>
        <v>340</v>
      </c>
      <c r="Z7" s="2">
        <v>0</v>
      </c>
      <c r="AE7" s="2">
        <f t="shared" si="1"/>
        <v>340</v>
      </c>
      <c r="AF7" s="2">
        <v>0</v>
      </c>
      <c r="AK7" s="2">
        <f>+AK6</f>
        <v>40</v>
      </c>
      <c r="AL7" s="2">
        <f>+AL6+40</f>
        <v>280</v>
      </c>
    </row>
    <row r="8" spans="2:40">
      <c r="B8" s="2" t="s">
        <v>3</v>
      </c>
      <c r="C8" s="3">
        <v>99</v>
      </c>
      <c r="Y8" s="2">
        <f t="shared" si="0"/>
        <v>320</v>
      </c>
      <c r="Z8" s="2">
        <f>0</f>
        <v>0</v>
      </c>
      <c r="AE8" s="2">
        <f t="shared" si="1"/>
        <v>320</v>
      </c>
      <c r="AF8" s="2">
        <f>0</f>
        <v>0</v>
      </c>
      <c r="AK8" s="2">
        <f>+AK7</f>
        <v>40</v>
      </c>
      <c r="AL8" s="2">
        <f>+AL7+40</f>
        <v>320</v>
      </c>
    </row>
    <row r="9" spans="2:40">
      <c r="B9" s="1" t="s">
        <v>37</v>
      </c>
      <c r="C9" s="9">
        <f>90+alpha1-alpha2</f>
        <v>98.342445764064252</v>
      </c>
      <c r="Y9" s="2">
        <f t="shared" si="0"/>
        <v>300</v>
      </c>
      <c r="Z9" s="2">
        <f>0</f>
        <v>0</v>
      </c>
      <c r="AE9" s="2">
        <f t="shared" si="1"/>
        <v>300</v>
      </c>
      <c r="AF9" s="2">
        <f>0</f>
        <v>0</v>
      </c>
      <c r="AK9" s="2">
        <f>+AK8</f>
        <v>40</v>
      </c>
      <c r="AL9" s="2">
        <f>+AL8+40</f>
        <v>360</v>
      </c>
    </row>
    <row r="10" spans="2:40">
      <c r="Y10" s="2">
        <f t="shared" si="0"/>
        <v>280</v>
      </c>
      <c r="Z10" s="2">
        <f>0</f>
        <v>0</v>
      </c>
      <c r="AE10" s="2">
        <f t="shared" si="1"/>
        <v>280</v>
      </c>
      <c r="AF10" s="2">
        <f>0</f>
        <v>0</v>
      </c>
      <c r="AK10" s="2">
        <f t="shared" ref="AK10:AK17" si="2">+AK9+40</f>
        <v>80</v>
      </c>
      <c r="AL10" s="2">
        <f>AL9</f>
        <v>360</v>
      </c>
    </row>
    <row r="11" spans="2:40">
      <c r="B11" s="2" t="s">
        <v>31</v>
      </c>
      <c r="C11" s="3">
        <v>60</v>
      </c>
      <c r="Y11" s="2">
        <f t="shared" si="0"/>
        <v>260</v>
      </c>
      <c r="Z11" s="2">
        <f>0</f>
        <v>0</v>
      </c>
      <c r="AE11" s="2">
        <f t="shared" si="1"/>
        <v>260</v>
      </c>
      <c r="AF11" s="2">
        <f>0</f>
        <v>0</v>
      </c>
      <c r="AK11" s="2">
        <f t="shared" si="2"/>
        <v>120</v>
      </c>
      <c r="AL11" s="2">
        <f t="shared" ref="AL11:AL17" si="3">AL10</f>
        <v>360</v>
      </c>
    </row>
    <row r="12" spans="2:40">
      <c r="B12" s="2" t="s">
        <v>32</v>
      </c>
      <c r="C12" s="3">
        <v>60</v>
      </c>
      <c r="Y12" s="2">
        <f t="shared" si="0"/>
        <v>240</v>
      </c>
      <c r="Z12" s="2">
        <f>0</f>
        <v>0</v>
      </c>
      <c r="AE12" s="2">
        <f t="shared" si="1"/>
        <v>240</v>
      </c>
      <c r="AF12" s="2">
        <f>0</f>
        <v>0</v>
      </c>
      <c r="AK12" s="2">
        <f t="shared" si="2"/>
        <v>160</v>
      </c>
      <c r="AL12" s="2">
        <f t="shared" si="3"/>
        <v>360</v>
      </c>
    </row>
    <row r="13" spans="2:40">
      <c r="B13" s="2" t="s">
        <v>33</v>
      </c>
      <c r="C13" s="3">
        <v>100</v>
      </c>
      <c r="Y13" s="2">
        <f t="shared" si="0"/>
        <v>220</v>
      </c>
      <c r="Z13" s="2">
        <f>0</f>
        <v>0</v>
      </c>
      <c r="AE13" s="2">
        <f t="shared" si="1"/>
        <v>220</v>
      </c>
      <c r="AF13" s="2">
        <f>0</f>
        <v>0</v>
      </c>
      <c r="AK13" s="2">
        <f t="shared" si="2"/>
        <v>200</v>
      </c>
      <c r="AL13" s="2">
        <f t="shared" si="3"/>
        <v>360</v>
      </c>
    </row>
    <row r="14" spans="2:40">
      <c r="B14" s="2" t="s">
        <v>27</v>
      </c>
      <c r="Y14" s="2">
        <f t="shared" si="0"/>
        <v>200</v>
      </c>
      <c r="Z14" s="2">
        <f>0</f>
        <v>0</v>
      </c>
      <c r="AE14" s="2">
        <f t="shared" si="1"/>
        <v>200</v>
      </c>
      <c r="AF14" s="2">
        <f>0</f>
        <v>0</v>
      </c>
      <c r="AK14" s="2">
        <f t="shared" si="2"/>
        <v>240</v>
      </c>
      <c r="AL14" s="2">
        <f t="shared" si="3"/>
        <v>360</v>
      </c>
    </row>
    <row r="15" spans="2:40">
      <c r="Y15" s="2">
        <f t="shared" si="0"/>
        <v>180</v>
      </c>
      <c r="Z15" s="2">
        <f>0</f>
        <v>0</v>
      </c>
      <c r="AE15" s="2">
        <f t="shared" si="1"/>
        <v>180</v>
      </c>
      <c r="AF15" s="2">
        <f>0</f>
        <v>0</v>
      </c>
      <c r="AK15" s="2">
        <f t="shared" si="2"/>
        <v>280</v>
      </c>
      <c r="AL15" s="2">
        <f t="shared" si="3"/>
        <v>360</v>
      </c>
    </row>
    <row r="16" spans="2:40">
      <c r="Y16" s="2">
        <f t="shared" si="0"/>
        <v>160</v>
      </c>
      <c r="Z16" s="2">
        <f>0</f>
        <v>0</v>
      </c>
      <c r="AE16" s="2">
        <f t="shared" si="1"/>
        <v>160</v>
      </c>
      <c r="AF16" s="2">
        <f>0</f>
        <v>0</v>
      </c>
      <c r="AK16" s="2">
        <f t="shared" si="2"/>
        <v>320</v>
      </c>
      <c r="AL16" s="2">
        <f t="shared" si="3"/>
        <v>360</v>
      </c>
    </row>
    <row r="17" spans="2:38">
      <c r="Y17" s="2">
        <f t="shared" si="0"/>
        <v>140</v>
      </c>
      <c r="Z17" s="2">
        <f>0</f>
        <v>0</v>
      </c>
      <c r="AE17" s="2">
        <f t="shared" si="1"/>
        <v>140</v>
      </c>
      <c r="AF17" s="2">
        <f>0</f>
        <v>0</v>
      </c>
      <c r="AK17" s="2">
        <f t="shared" si="2"/>
        <v>360</v>
      </c>
      <c r="AL17" s="2">
        <f t="shared" si="3"/>
        <v>360</v>
      </c>
    </row>
    <row r="18" spans="2:38">
      <c r="B18" s="2" t="s">
        <v>28</v>
      </c>
      <c r="C18" s="8">
        <f>(targetY-$I$23)*$J$23</f>
        <v>369</v>
      </c>
      <c r="Y18" s="2">
        <f t="shared" si="0"/>
        <v>120</v>
      </c>
      <c r="Z18" s="2">
        <f>0</f>
        <v>0</v>
      </c>
      <c r="AE18" s="2">
        <f t="shared" si="1"/>
        <v>120</v>
      </c>
      <c r="AF18" s="2">
        <f>0</f>
        <v>0</v>
      </c>
      <c r="AK18" s="2">
        <f>+AK17</f>
        <v>360</v>
      </c>
      <c r="AL18" s="2">
        <f t="shared" ref="AL18:AL25" si="4">+AL17-40</f>
        <v>320</v>
      </c>
    </row>
    <row r="19" spans="2:38">
      <c r="B19" s="2" t="s">
        <v>29</v>
      </c>
      <c r="C19" s="8">
        <f>(targetX-$I$24)*$J$24</f>
        <v>-140</v>
      </c>
      <c r="Y19" s="2">
        <f t="shared" si="0"/>
        <v>100</v>
      </c>
      <c r="Z19" s="2">
        <f>0</f>
        <v>0</v>
      </c>
      <c r="AE19" s="2">
        <f t="shared" si="1"/>
        <v>100</v>
      </c>
      <c r="AF19" s="2">
        <f>0</f>
        <v>0</v>
      </c>
      <c r="AK19" s="2">
        <f t="shared" ref="AK19:AK25" si="5">+AK18</f>
        <v>360</v>
      </c>
      <c r="AL19" s="2">
        <f t="shared" si="4"/>
        <v>280</v>
      </c>
    </row>
    <row r="20" spans="2:38">
      <c r="B20" s="2" t="s">
        <v>30</v>
      </c>
      <c r="C20" s="8">
        <f>targetZ</f>
        <v>100</v>
      </c>
      <c r="Y20" s="2">
        <f t="shared" si="0"/>
        <v>80</v>
      </c>
      <c r="Z20" s="2">
        <f>0</f>
        <v>0</v>
      </c>
      <c r="AE20" s="2">
        <f t="shared" ref="AE20" si="6">+AE21+20</f>
        <v>80</v>
      </c>
      <c r="AF20" s="2">
        <f>0</f>
        <v>0</v>
      </c>
      <c r="AK20" s="2">
        <f t="shared" si="5"/>
        <v>360</v>
      </c>
      <c r="AL20" s="2">
        <f t="shared" si="4"/>
        <v>240</v>
      </c>
    </row>
    <row r="21" spans="2:38">
      <c r="B21" s="2" t="s">
        <v>35</v>
      </c>
      <c r="Y21" s="2">
        <f>+Y22+20</f>
        <v>60</v>
      </c>
      <c r="Z21" s="2">
        <f>0</f>
        <v>0</v>
      </c>
      <c r="AE21" s="2">
        <f>+AE22+20</f>
        <v>60</v>
      </c>
      <c r="AF21" s="2">
        <f>0</f>
        <v>0</v>
      </c>
      <c r="AK21" s="2">
        <f t="shared" si="5"/>
        <v>360</v>
      </c>
      <c r="AL21" s="2">
        <f t="shared" si="4"/>
        <v>200</v>
      </c>
    </row>
    <row r="22" spans="2:38">
      <c r="B22" s="2" t="s">
        <v>24</v>
      </c>
      <c r="H22" s="2" t="s">
        <v>34</v>
      </c>
      <c r="Y22" s="2">
        <f>+Y23+40</f>
        <v>40</v>
      </c>
      <c r="Z22" s="2">
        <f>0</f>
        <v>0</v>
      </c>
      <c r="AE22" s="2">
        <f>+AE23+40</f>
        <v>40</v>
      </c>
      <c r="AF22" s="2">
        <f>0</f>
        <v>0</v>
      </c>
      <c r="AK22" s="2">
        <f t="shared" si="5"/>
        <v>360</v>
      </c>
      <c r="AL22" s="2">
        <f t="shared" si="4"/>
        <v>160</v>
      </c>
    </row>
    <row r="23" spans="2:38">
      <c r="H23" s="2" t="s">
        <v>4</v>
      </c>
      <c r="I23" s="7">
        <f>40+8*40+69</f>
        <v>429</v>
      </c>
      <c r="J23" s="2">
        <v>-1</v>
      </c>
      <c r="X23" s="2" t="s">
        <v>18</v>
      </c>
      <c r="Y23" s="2">
        <v>0</v>
      </c>
      <c r="Z23" s="2">
        <v>0</v>
      </c>
      <c r="AA23" s="2">
        <f>H38</f>
        <v>200</v>
      </c>
      <c r="AB23" s="2">
        <f>J38</f>
        <v>0</v>
      </c>
      <c r="AD23" s="2" t="s">
        <v>18</v>
      </c>
      <c r="AE23" s="2">
        <v>0</v>
      </c>
      <c r="AF23" s="2">
        <v>0</v>
      </c>
      <c r="AG23" s="2">
        <f t="shared" ref="AG23:AH27" si="7">I38</f>
        <v>429</v>
      </c>
      <c r="AH23" s="2">
        <f t="shared" si="7"/>
        <v>0</v>
      </c>
      <c r="AK23" s="2">
        <f t="shared" si="5"/>
        <v>360</v>
      </c>
      <c r="AL23" s="2">
        <f t="shared" si="4"/>
        <v>120</v>
      </c>
    </row>
    <row r="24" spans="2:38">
      <c r="B24" s="2" t="s">
        <v>23</v>
      </c>
      <c r="C24" s="2">
        <f>IF(C19=0,90,IF(C19&lt;0,180-DEGREES(ATAN(C18/-C19)),DEGREES(ATAN(C18/C19))))</f>
        <v>110.77693532736775</v>
      </c>
      <c r="H24" s="2" t="s">
        <v>5</v>
      </c>
      <c r="I24" s="7">
        <v>200</v>
      </c>
      <c r="J24" s="2">
        <v>1</v>
      </c>
      <c r="X24" s="2" t="s">
        <v>6</v>
      </c>
      <c r="AA24" s="2">
        <f>H39</f>
        <v>200</v>
      </c>
      <c r="AB24" s="2">
        <f>J39</f>
        <v>78</v>
      </c>
      <c r="AD24" s="2" t="s">
        <v>6</v>
      </c>
      <c r="AG24" s="2">
        <f t="shared" si="7"/>
        <v>429</v>
      </c>
      <c r="AH24" s="2">
        <f t="shared" si="7"/>
        <v>78</v>
      </c>
      <c r="AK24" s="2">
        <f t="shared" si="5"/>
        <v>360</v>
      </c>
      <c r="AL24" s="2">
        <f t="shared" si="4"/>
        <v>80</v>
      </c>
    </row>
    <row r="25" spans="2:38">
      <c r="K25" s="2" t="s">
        <v>36</v>
      </c>
      <c r="M25" s="2">
        <v>40</v>
      </c>
      <c r="X25" s="2" t="s">
        <v>7</v>
      </c>
      <c r="AA25" s="2">
        <f>H40</f>
        <v>142.1286321042345</v>
      </c>
      <c r="AB25" s="2">
        <f>J40</f>
        <v>232.95087751993373</v>
      </c>
      <c r="AD25" s="2" t="s">
        <v>7</v>
      </c>
      <c r="AG25" s="2">
        <f t="shared" si="7"/>
        <v>276.46760890330387</v>
      </c>
      <c r="AH25" s="2">
        <f t="shared" si="7"/>
        <v>232.95087751993373</v>
      </c>
      <c r="AK25" s="2">
        <f t="shared" si="5"/>
        <v>360</v>
      </c>
      <c r="AL25" s="2">
        <f t="shared" si="4"/>
        <v>40</v>
      </c>
    </row>
    <row r="26" spans="2:38">
      <c r="B26" s="2" t="s">
        <v>20</v>
      </c>
      <c r="C26" s="2">
        <f>IF(targetAlpha0=0,$C$18,$C$18/SIN(RADIANS(targetAlpha0)))</f>
        <v>394.66568130507625</v>
      </c>
      <c r="X26" s="2" t="s">
        <v>8</v>
      </c>
      <c r="AA26" s="2">
        <f>H41</f>
        <v>59.999999999999915</v>
      </c>
      <c r="AB26" s="2">
        <f>J41</f>
        <v>198.99999999999983</v>
      </c>
      <c r="AD26" s="2" t="s">
        <v>8</v>
      </c>
      <c r="AG26" s="2">
        <f t="shared" si="7"/>
        <v>59.999999999999943</v>
      </c>
      <c r="AH26" s="2">
        <f t="shared" si="7"/>
        <v>198.99999999999983</v>
      </c>
      <c r="AK26" s="2">
        <f t="shared" ref="AK26:AK33" si="8">+AK25-40</f>
        <v>320</v>
      </c>
      <c r="AL26" s="2">
        <f>+AL25</f>
        <v>40</v>
      </c>
    </row>
    <row r="27" spans="2:38">
      <c r="B27" s="2" t="s">
        <v>21</v>
      </c>
      <c r="C27" s="2">
        <f>$C$20-C2+C8</f>
        <v>121</v>
      </c>
      <c r="X27" s="2" t="s">
        <v>9</v>
      </c>
      <c r="AA27" s="2">
        <f>H42</f>
        <v>59.999999999999915</v>
      </c>
      <c r="AB27" s="2">
        <f>J42</f>
        <v>99.999999999999829</v>
      </c>
      <c r="AD27" s="2" t="s">
        <v>9</v>
      </c>
      <c r="AG27" s="2">
        <f t="shared" si="7"/>
        <v>59.999999999999943</v>
      </c>
      <c r="AH27" s="2">
        <f t="shared" si="7"/>
        <v>99.999999999999829</v>
      </c>
      <c r="AK27" s="2">
        <f t="shared" si="8"/>
        <v>280</v>
      </c>
      <c r="AL27" s="2">
        <f t="shared" ref="AL27:AL33" si="9">+AL26</f>
        <v>40</v>
      </c>
    </row>
    <row r="28" spans="2:38">
      <c r="H28" s="2" t="s">
        <v>19</v>
      </c>
      <c r="AK28" s="2">
        <f t="shared" si="8"/>
        <v>240</v>
      </c>
      <c r="AL28" s="2">
        <f t="shared" si="9"/>
        <v>40</v>
      </c>
    </row>
    <row r="29" spans="2:38">
      <c r="C29" s="2">
        <f>C26^2</f>
        <v>155761</v>
      </c>
      <c r="H29" s="2" t="s">
        <v>20</v>
      </c>
      <c r="I29" s="2" t="s">
        <v>21</v>
      </c>
      <c r="K29" s="2" t="s">
        <v>25</v>
      </c>
      <c r="L29" s="3" t="s">
        <v>38</v>
      </c>
      <c r="AK29" s="2">
        <f t="shared" si="8"/>
        <v>200</v>
      </c>
      <c r="AL29" s="2">
        <f t="shared" si="9"/>
        <v>40</v>
      </c>
    </row>
    <row r="30" spans="2:38">
      <c r="C30" s="2">
        <f>C27^2</f>
        <v>14641</v>
      </c>
      <c r="G30" s="2" t="s">
        <v>18</v>
      </c>
      <c r="H30" s="2">
        <v>0</v>
      </c>
      <c r="I30" s="2">
        <v>0</v>
      </c>
      <c r="K30" s="2" t="s">
        <v>4</v>
      </c>
      <c r="L30" s="2">
        <f>M25/2+$M$25*(1+CODE(LEFT(L29,1))-97)</f>
        <v>60</v>
      </c>
      <c r="AK30" s="2">
        <f t="shared" si="8"/>
        <v>160</v>
      </c>
      <c r="AL30" s="2">
        <f t="shared" si="9"/>
        <v>40</v>
      </c>
    </row>
    <row r="31" spans="2:38">
      <c r="C31" s="2">
        <f>C4^2</f>
        <v>50625</v>
      </c>
      <c r="G31" s="2" t="s">
        <v>6</v>
      </c>
      <c r="H31" s="2">
        <f>H30</f>
        <v>0</v>
      </c>
      <c r="I31" s="2">
        <f>I30+$C$2</f>
        <v>78</v>
      </c>
      <c r="K31" s="2" t="s">
        <v>5</v>
      </c>
      <c r="L31" s="2">
        <f>M25/2+$M$25*VALUE(RIGHT(L29,1))</f>
        <v>60</v>
      </c>
      <c r="AK31" s="2">
        <f t="shared" si="8"/>
        <v>120</v>
      </c>
      <c r="AL31" s="2">
        <f t="shared" si="9"/>
        <v>40</v>
      </c>
    </row>
    <row r="32" spans="2:38">
      <c r="C32" s="2">
        <f>C6^2</f>
        <v>54756</v>
      </c>
      <c r="G32" s="4" t="s">
        <v>7</v>
      </c>
      <c r="H32" s="2">
        <f>H31-$C$4*COS(RADIANS($C$5))</f>
        <v>163.14173456170712</v>
      </c>
      <c r="I32" s="2">
        <f>I31+$C$4*SIN(RADIANS($C$5))</f>
        <v>232.95087751993373</v>
      </c>
      <c r="K32" s="2" t="s">
        <v>10</v>
      </c>
      <c r="L32" s="2">
        <v>30</v>
      </c>
      <c r="AK32" s="2">
        <f t="shared" si="8"/>
        <v>80</v>
      </c>
      <c r="AL32" s="2">
        <f t="shared" si="9"/>
        <v>40</v>
      </c>
    </row>
    <row r="33" spans="2:40">
      <c r="C33" s="2">
        <f>+C31+C32-C29-C30</f>
        <v>-65021</v>
      </c>
      <c r="G33" s="5" t="s">
        <v>8</v>
      </c>
      <c r="H33" s="2">
        <f>H32+$C$6*COS(RADIANS($C$5-$C$7))</f>
        <v>394.6656813050763</v>
      </c>
      <c r="I33" s="2">
        <f>I32-$C$6*SIN(RADIANS($C$5-$C$7))</f>
        <v>198.99999999999983</v>
      </c>
      <c r="AK33" s="2">
        <f t="shared" si="8"/>
        <v>40</v>
      </c>
      <c r="AL33" s="2">
        <f t="shared" si="9"/>
        <v>40</v>
      </c>
    </row>
    <row r="34" spans="2:40">
      <c r="G34" s="2" t="s">
        <v>9</v>
      </c>
      <c r="H34" s="2">
        <f>H33</f>
        <v>394.6656813050763</v>
      </c>
      <c r="I34" s="2">
        <f>I33-$C$8</f>
        <v>99.999999999999829</v>
      </c>
      <c r="AK34" s="2">
        <f>+AK33</f>
        <v>40</v>
      </c>
      <c r="AL34" s="2">
        <f>+AL33+40</f>
        <v>80</v>
      </c>
    </row>
    <row r="35" spans="2:40">
      <c r="C35" s="2">
        <f>C33/(2*C4*C6)</f>
        <v>-0.61748338081671417</v>
      </c>
      <c r="AK35" s="2">
        <f>+AK34</f>
        <v>40</v>
      </c>
      <c r="AL35" s="2">
        <f>+AL34+40</f>
        <v>120</v>
      </c>
    </row>
    <row r="36" spans="2:40">
      <c r="H36" s="2" t="s">
        <v>22</v>
      </c>
      <c r="AK36" s="2">
        <f>+AK35</f>
        <v>40</v>
      </c>
      <c r="AL36" s="2">
        <f>+AL35+40</f>
        <v>160</v>
      </c>
    </row>
    <row r="37" spans="2:40">
      <c r="B37" s="1" t="s">
        <v>14</v>
      </c>
      <c r="C37" s="2">
        <f>DEGREES(ACOS(C35))</f>
        <v>128.13258961179278</v>
      </c>
      <c r="H37" s="2" t="s">
        <v>4</v>
      </c>
      <c r="I37" s="2" t="s">
        <v>5</v>
      </c>
      <c r="J37" s="2" t="s">
        <v>10</v>
      </c>
      <c r="AK37" s="2">
        <f>+AK36</f>
        <v>40</v>
      </c>
      <c r="AL37" s="2">
        <f>+AL36+40</f>
        <v>200</v>
      </c>
    </row>
    <row r="38" spans="2:40">
      <c r="G38" s="2" t="s">
        <v>18</v>
      </c>
      <c r="H38" s="2">
        <f>H30*COS(RADIANS($C$3))+$I$24</f>
        <v>200</v>
      </c>
      <c r="I38" s="7">
        <f>H30*SIN(RADIANS($C$3))*$J$23+$I$23</f>
        <v>429</v>
      </c>
      <c r="J38" s="2">
        <f>I30</f>
        <v>0</v>
      </c>
      <c r="AJ38" s="2" t="s">
        <v>18</v>
      </c>
      <c r="AM38" s="2">
        <f t="shared" ref="AM38:AN42" si="10">H38</f>
        <v>200</v>
      </c>
      <c r="AN38" s="2">
        <f t="shared" si="10"/>
        <v>429</v>
      </c>
    </row>
    <row r="39" spans="2:40">
      <c r="C39" s="2">
        <f>DEGREES(ACOS(C26/SQRT(C26^2+C27^2)))</f>
        <v>17.04494265596497</v>
      </c>
      <c r="G39" s="2" t="s">
        <v>6</v>
      </c>
      <c r="H39" s="2">
        <f>H31*COS(RADIANS($C$3))+$I$24</f>
        <v>200</v>
      </c>
      <c r="I39" s="7">
        <f>H31*SIN(RADIANS($C$3))*$J$23+$I$23</f>
        <v>429</v>
      </c>
      <c r="J39" s="2">
        <f>I31</f>
        <v>78</v>
      </c>
      <c r="AJ39" s="2" t="s">
        <v>6</v>
      </c>
      <c r="AM39" s="2">
        <f t="shared" si="10"/>
        <v>200</v>
      </c>
      <c r="AN39" s="2">
        <f t="shared" si="10"/>
        <v>429</v>
      </c>
    </row>
    <row r="40" spans="2:40">
      <c r="C40" s="2">
        <f>DEGREES(ACOS((C4^2+(C26^2+C27^2)-C6^2)/(2*C4*SQRT(C26^2+C27^2))))</f>
        <v>26.480021968177994</v>
      </c>
      <c r="G40" s="4" t="s">
        <v>7</v>
      </c>
      <c r="H40" s="2">
        <f>H32*COS(RADIANS($C$3))+$I$24</f>
        <v>142.1286321042345</v>
      </c>
      <c r="I40" s="7">
        <f>H32*SIN(RADIANS($C$3))*$J$23+$I$23</f>
        <v>276.46760890330387</v>
      </c>
      <c r="J40" s="2">
        <f>I32</f>
        <v>232.95087751993373</v>
      </c>
      <c r="AJ40" s="2" t="s">
        <v>7</v>
      </c>
      <c r="AM40" s="2">
        <f t="shared" si="10"/>
        <v>142.1286321042345</v>
      </c>
      <c r="AN40" s="2">
        <f t="shared" si="10"/>
        <v>276.46760890330387</v>
      </c>
    </row>
    <row r="41" spans="2:40">
      <c r="G41" s="5" t="s">
        <v>8</v>
      </c>
      <c r="H41" s="2">
        <f>H33*COS(RADIANS($C$3))+$I$24</f>
        <v>59.999999999999915</v>
      </c>
      <c r="I41" s="7">
        <f>H33*SIN(RADIANS($C$3))*$J$23+$I$23</f>
        <v>59.999999999999943</v>
      </c>
      <c r="J41" s="2">
        <f>I33</f>
        <v>198.99999999999983</v>
      </c>
      <c r="AJ41" s="2" t="s">
        <v>8</v>
      </c>
      <c r="AM41" s="2">
        <f t="shared" si="10"/>
        <v>59.999999999999915</v>
      </c>
      <c r="AN41" s="2">
        <f t="shared" si="10"/>
        <v>59.999999999999943</v>
      </c>
    </row>
    <row r="42" spans="2:40">
      <c r="B42" s="2" t="s">
        <v>15</v>
      </c>
      <c r="C42" s="2">
        <f>IF(SIGN(C27)=1,180-C39-C40,180-C40+C39)</f>
        <v>136.47503537585703</v>
      </c>
      <c r="G42" s="2" t="s">
        <v>9</v>
      </c>
      <c r="H42" s="2">
        <f>H34*COS(RADIANS($C$3))+$I$24</f>
        <v>59.999999999999915</v>
      </c>
      <c r="I42" s="7">
        <f>H34*SIN(RADIANS($C$3))*$J$23+$I$23</f>
        <v>59.999999999999943</v>
      </c>
      <c r="J42" s="2">
        <f>I34</f>
        <v>99.999999999999829</v>
      </c>
      <c r="AJ42" s="2" t="s">
        <v>9</v>
      </c>
      <c r="AM42" s="2">
        <f t="shared" si="10"/>
        <v>59.999999999999915</v>
      </c>
      <c r="AN42" s="2">
        <f t="shared" si="10"/>
        <v>59.999999999999943</v>
      </c>
    </row>
    <row r="43" spans="2:40">
      <c r="H43" s="6" t="b">
        <f>ROUND(currX-targetX,2)=0</f>
        <v>1</v>
      </c>
      <c r="I43" s="6" t="b">
        <f>ROUND(currY-(targetY),2)=0</f>
        <v>1</v>
      </c>
      <c r="J43" s="6" t="b">
        <f>ROUND(currZ-targetZ,2)=0</f>
        <v>1</v>
      </c>
    </row>
  </sheetData>
  <phoneticPr fontId="1" type="noConversion"/>
  <conditionalFormatting sqref="H43:J43">
    <cfRule type="cellIs" dxfId="0" priority="1" stopIfTrue="1" operator="equal">
      <formula>TRUE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pinner 3">
              <controlPr defaultSize="0" autoPict="0">
                <anchor moveWithCells="1" sizeWithCells="1">
                  <from>
                    <xdr:col>3</xdr:col>
                    <xdr:colOff>0</xdr:colOff>
                    <xdr:row>5</xdr:row>
                    <xdr:rowOff>168729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pinner 5">
              <controlPr defaultSize="0" autoPict="0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Spinner 6">
              <controlPr defaultSize="0" autoPict="0">
                <anchor moveWithCells="1" sizeWithCells="1">
                  <from>
                    <xdr:col>4</xdr:col>
                    <xdr:colOff>0</xdr:colOff>
                    <xdr:row>5</xdr:row>
                    <xdr:rowOff>168729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ThisWorkbook.reposition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Spinner 14">
              <controlPr defaultSize="0" autoPict="0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Spinner 15">
              <controlPr defaultSize="0" autoPict="0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Model</vt:lpstr>
      <vt:lpstr>alpha0</vt:lpstr>
      <vt:lpstr>alpha1</vt:lpstr>
      <vt:lpstr>alpha2</vt:lpstr>
      <vt:lpstr>currX</vt:lpstr>
      <vt:lpstr>currY</vt:lpstr>
      <vt:lpstr>currZ</vt:lpstr>
      <vt:lpstr>targetAlpha0</vt:lpstr>
      <vt:lpstr>targetAlpha1</vt:lpstr>
      <vt:lpstr>targetAlpha2</vt:lpstr>
      <vt:lpstr>targetX</vt:lpstr>
      <vt:lpstr>targetY</vt:lpstr>
      <vt:lpstr>targetZ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2017-07-23T17:23:15Z</dcterms:created>
  <dcterms:modified xsi:type="dcterms:W3CDTF">2017-07-23T17:23:27Z</dcterms:modified>
</cp:coreProperties>
</file>